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<sst xmlns="http://schemas.openxmlformats.org/spreadsheetml/2006/main" count="805" uniqueCount="143">
  <si>
    <t>tierBoostAttack</t>
  </si>
  <si>
    <t>tierBoostHealth</t>
  </si>
  <si>
    <t>tierBoostArmor</t>
  </si>
  <si>
    <t>attackRange</t>
  </si>
  <si>
    <t>1-5</t>
  </si>
  <si>
    <t>healthRange</t>
  </si>
  <si>
    <t>20-50</t>
  </si>
  <si>
    <t>armorRange</t>
  </si>
  <si>
    <t>1-3</t>
  </si>
  <si>
    <t>RunicID</t>
  </si>
  <si>
    <t>Vanguard</t>
  </si>
  <si>
    <t>Tier</t>
  </si>
  <si>
    <t>Class</t>
  </si>
  <si>
    <t>Warrior</t>
  </si>
  <si>
    <t>Race</t>
  </si>
  <si>
    <t>Transcendence</t>
  </si>
  <si>
    <t>Skill</t>
  </si>
  <si>
    <t>Smash</t>
  </si>
  <si>
    <t>Attack</t>
  </si>
  <si>
    <t>Defence</t>
  </si>
  <si>
    <t>Health</t>
  </si>
  <si>
    <t>Range</t>
  </si>
  <si>
    <t>Attack Speed</t>
  </si>
  <si>
    <t>Mana</t>
  </si>
  <si>
    <t>Hunter</t>
  </si>
  <si>
    <t>Marksman</t>
  </si>
  <si>
    <t>Human</t>
  </si>
  <si>
    <t>RapidShot</t>
  </si>
  <si>
    <t>Paladin</t>
  </si>
  <si>
    <t>Knight</t>
  </si>
  <si>
    <t>Blessing</t>
  </si>
  <si>
    <t>Serpant</t>
  </si>
  <si>
    <t>Assassin</t>
  </si>
  <si>
    <t>Ocean</t>
  </si>
  <si>
    <t>Deft</t>
  </si>
  <si>
    <t>Engineer</t>
  </si>
  <si>
    <t>Craftman</t>
  </si>
  <si>
    <t>Masterwork</t>
  </si>
  <si>
    <t>Lightning Elemental</t>
  </si>
  <si>
    <t>Elemental</t>
  </si>
  <si>
    <t>ChainLightning</t>
  </si>
  <si>
    <t>BlackDragon Emperor</t>
  </si>
  <si>
    <t>Warlock</t>
  </si>
  <si>
    <t>Judger</t>
  </si>
  <si>
    <t>Dragon</t>
  </si>
  <si>
    <t>BreathOfDestruction</t>
  </si>
  <si>
    <t>Crescent</t>
  </si>
  <si>
    <t>Befall</t>
  </si>
  <si>
    <t>LaserWalker</t>
  </si>
  <si>
    <t>Mech</t>
  </si>
  <si>
    <t>LightChisel</t>
  </si>
  <si>
    <t>Skeleton Archer</t>
  </si>
  <si>
    <t>Undead</t>
  </si>
  <si>
    <t>BoneShot</t>
  </si>
  <si>
    <t>Gigantic Clam</t>
  </si>
  <si>
    <t>Shell</t>
  </si>
  <si>
    <t>Witch</t>
  </si>
  <si>
    <t>SummonSkeleton</t>
  </si>
  <si>
    <t>Necromancer</t>
  </si>
  <si>
    <t>Mage</t>
  </si>
  <si>
    <t>DeathCurse</t>
  </si>
  <si>
    <t>Ragefire Elemental</t>
  </si>
  <si>
    <t>RageFire</t>
  </si>
  <si>
    <t>Web Builder</t>
  </si>
  <si>
    <t>Beast</t>
  </si>
  <si>
    <t>WebBuilding</t>
  </si>
  <si>
    <t>Bishop</t>
  </si>
  <si>
    <t>Priest</t>
  </si>
  <si>
    <t>Grace</t>
  </si>
  <si>
    <t>FrostElemental</t>
  </si>
  <si>
    <t>FrostShot</t>
  </si>
  <si>
    <t>SpiritSmith</t>
  </si>
  <si>
    <t>Dark</t>
  </si>
  <si>
    <t>SpiritForge</t>
  </si>
  <si>
    <t>Hound</t>
  </si>
  <si>
    <t>Bite</t>
  </si>
  <si>
    <t>Raptor</t>
  </si>
  <si>
    <t>Claw</t>
  </si>
  <si>
    <t>DarkElemental</t>
  </si>
  <si>
    <t>DarknessOvercast</t>
  </si>
  <si>
    <t>BoulderElemental</t>
  </si>
  <si>
    <t>BoulderThrowing</t>
  </si>
  <si>
    <t>Harvester</t>
  </si>
  <si>
    <t>WhirlWind</t>
  </si>
  <si>
    <t>ElementalArtisan</t>
  </si>
  <si>
    <t>ElementalConvergence</t>
  </si>
  <si>
    <t>TidalCaller</t>
  </si>
  <si>
    <t>Invoke</t>
  </si>
  <si>
    <t>Lenora'sSubmarine</t>
  </si>
  <si>
    <t>TheStopwatch</t>
  </si>
  <si>
    <t>AstralKnight</t>
  </si>
  <si>
    <t>AstralBody</t>
  </si>
  <si>
    <t>KingSlayer</t>
  </si>
  <si>
    <t>KingsBane</t>
  </si>
  <si>
    <t>SpottedJellyfish</t>
  </si>
  <si>
    <t>ShimmerDust</t>
  </si>
  <si>
    <t>MosasaurBones</t>
  </si>
  <si>
    <t>Eternal</t>
  </si>
  <si>
    <t>AngelOfSentance</t>
  </si>
  <si>
    <t>Quietus</t>
  </si>
  <si>
    <t>MistElemental</t>
  </si>
  <si>
    <t>TheMist</t>
  </si>
  <si>
    <t>TheWizard</t>
  </si>
  <si>
    <t>MeteorShower</t>
  </si>
  <si>
    <t>SkyDragon</t>
  </si>
  <si>
    <t>FireBreathe</t>
  </si>
  <si>
    <t>Sunlit</t>
  </si>
  <si>
    <t>SealedSun</t>
  </si>
  <si>
    <t>WatchtowerBomber</t>
  </si>
  <si>
    <t>FlyingWatchtower</t>
  </si>
  <si>
    <t>WolfAlpha</t>
  </si>
  <si>
    <t>Howl</t>
  </si>
  <si>
    <t>Cain</t>
  </si>
  <si>
    <t>BloodSacrifice</t>
  </si>
  <si>
    <t>GlaringElemental</t>
  </si>
  <si>
    <t>BrilliantLight</t>
  </si>
  <si>
    <t>ShadowSpeaker</t>
  </si>
  <si>
    <t>EnergyTransformation</t>
  </si>
  <si>
    <t>UnderGuard</t>
  </si>
  <si>
    <t>Curse</t>
  </si>
  <si>
    <t>GriffinRider</t>
  </si>
  <si>
    <t>MagicHalo</t>
  </si>
  <si>
    <t>ArtificialDeath</t>
  </si>
  <si>
    <t>Awaken</t>
  </si>
  <si>
    <t>Archill</t>
  </si>
  <si>
    <t>IceStorm</t>
  </si>
  <si>
    <t>TheDemon</t>
  </si>
  <si>
    <t>Demon</t>
  </si>
  <si>
    <t>FirePossession</t>
  </si>
  <si>
    <t>LightDragon</t>
  </si>
  <si>
    <t>Heaven</t>
  </si>
  <si>
    <t>AncientWind</t>
  </si>
  <si>
    <t>WindRider</t>
  </si>
  <si>
    <t>SunChaser</t>
  </si>
  <si>
    <t>SunChasing</t>
  </si>
  <si>
    <t>WorldTree</t>
  </si>
  <si>
    <t>WorldFavour</t>
  </si>
  <si>
    <t>EnderHunter</t>
  </si>
  <si>
    <t>EnderShot</t>
  </si>
  <si>
    <t>FiveStarGeneral</t>
  </si>
  <si>
    <t>FiveStarCommenter</t>
  </si>
  <si>
    <t>BladeFeather</t>
  </si>
  <si>
    <t>BladeWeather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</si>
</sst>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O215"/>
  <sheetViews>
    <sheetView tabSelected="1" topLeftCell="A182" workbookViewId="0">
      <selection activeCell="S196" sqref="S196"/>
    </sheetView>
  </sheetViews>
  <sheetFormatPr defaultColWidth="9" defaultRowHeight="14"/>
  <cols>
    <col min="7" max="7" width="13.2727272727273" customWidth="1"/>
  </cols>
  <sheetData>
    <row r="4" spans="3:11">
      <c r="C4" t="s">
        <v>0</v>
      </c>
      <c r="E4">
        <v>3</v>
      </c>
      <c r="F4" t="s">
        <v>1</v>
      </c>
      <c r="H4">
        <v>30</v>
      </c>
      <c r="I4" t="s">
        <v>2</v>
      </c>
      <c r="K4">
        <v>1</v>
      </c>
    </row>
    <row r="5" spans="3:11">
      <c r="C5" t="s">
        <v>3</v>
      </c>
      <c r="E5" s="1" t="s">
        <v>4</v>
      </c>
      <c r="F5" t="s">
        <v>5</v>
      </c>
      <c r="H5" t="s">
        <v>6</v>
      </c>
      <c r="I5" t="s">
        <v>7</v>
      </c>
      <c r="K5" s="1" t="s">
        <v>8</v>
      </c>
    </row>
    <row r="7" spans="3:13">
      <c r="C7" t="s">
        <v>9</v>
      </c>
      <c r="D7" t="s">
        <v>10</v>
      </c>
      <c r="E7" t="s">
        <v>11</v>
      </c>
      <c r="F7">
        <v>1</v>
      </c>
      <c r="G7" t="s">
        <v>12</v>
      </c>
      <c r="H7" t="s">
        <v>13</v>
      </c>
      <c r="I7" t="s">
        <v>14</v>
      </c>
      <c r="J7" t="s">
        <v>15</v>
      </c>
      <c r="L7" t="s">
        <v>16</v>
      </c>
      <c r="M7" t="s">
        <v>17</v>
      </c>
    </row>
    <row r="8" spans="3:8"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</row>
    <row r="9" spans="3:8">
      <c r="C9">
        <f>4+($E$4)*F7</f>
        <v>7</v>
      </c>
      <c r="D9">
        <f>2+($K$4)*F7</f>
        <v>3</v>
      </c>
      <c r="E9">
        <f>34+($H$4)*F7</f>
        <v>64</v>
      </c>
      <c r="F9">
        <v>2</v>
      </c>
      <c r="G9">
        <v>0.5</v>
      </c>
      <c r="H9">
        <v>22</v>
      </c>
    </row>
    <row r="12" spans="3:13">
      <c r="C12" t="s">
        <v>9</v>
      </c>
      <c r="D12" t="s">
        <v>24</v>
      </c>
      <c r="E12" t="s">
        <v>11</v>
      </c>
      <c r="F12">
        <v>1</v>
      </c>
      <c r="G12" t="s">
        <v>12</v>
      </c>
      <c r="H12" t="s">
        <v>25</v>
      </c>
      <c r="I12" t="s">
        <v>14</v>
      </c>
      <c r="J12" t="s">
        <v>26</v>
      </c>
      <c r="L12" t="s">
        <v>16</v>
      </c>
      <c r="M12" t="s">
        <v>27</v>
      </c>
    </row>
    <row r="13" spans="3:8"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</row>
    <row r="14" spans="3:8">
      <c r="C14">
        <f>3+($E$4)*F12</f>
        <v>6</v>
      </c>
      <c r="D14">
        <f>1+($K$4)*F12</f>
        <v>2</v>
      </c>
      <c r="E14">
        <f>22+($H$4)*F12</f>
        <v>52</v>
      </c>
      <c r="F14">
        <v>3</v>
      </c>
      <c r="G14">
        <v>0.5</v>
      </c>
      <c r="H14">
        <v>13</v>
      </c>
    </row>
    <row r="16" spans="3:13">
      <c r="C16" t="s">
        <v>9</v>
      </c>
      <c r="D16" t="s">
        <v>28</v>
      </c>
      <c r="E16" t="s">
        <v>11</v>
      </c>
      <c r="F16">
        <v>1</v>
      </c>
      <c r="G16" t="s">
        <v>12</v>
      </c>
      <c r="H16" t="s">
        <v>29</v>
      </c>
      <c r="I16" t="s">
        <v>14</v>
      </c>
      <c r="J16" t="s">
        <v>26</v>
      </c>
      <c r="L16" t="s">
        <v>16</v>
      </c>
      <c r="M16" t="s">
        <v>30</v>
      </c>
    </row>
    <row r="17" spans="3:8"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</row>
    <row r="18" spans="3:8">
      <c r="C18">
        <f>2+($E$4)*F16</f>
        <v>5</v>
      </c>
      <c r="D18">
        <f>3+($K$4)*F16</f>
        <v>4</v>
      </c>
      <c r="E18">
        <f>50+($H$4)*F16</f>
        <v>80</v>
      </c>
      <c r="F18">
        <v>1</v>
      </c>
      <c r="G18">
        <v>0.5</v>
      </c>
      <c r="H18">
        <v>-1</v>
      </c>
    </row>
    <row r="20" spans="3:13">
      <c r="C20" t="s">
        <v>9</v>
      </c>
      <c r="D20" t="s">
        <v>31</v>
      </c>
      <c r="E20" t="s">
        <v>11</v>
      </c>
      <c r="F20">
        <v>1</v>
      </c>
      <c r="G20" t="s">
        <v>12</v>
      </c>
      <c r="H20" t="s">
        <v>32</v>
      </c>
      <c r="I20" t="s">
        <v>14</v>
      </c>
      <c r="J20" t="s">
        <v>33</v>
      </c>
      <c r="L20" t="s">
        <v>16</v>
      </c>
      <c r="M20" t="s">
        <v>34</v>
      </c>
    </row>
    <row r="21" spans="3:8"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</row>
    <row r="22" spans="3:8">
      <c r="C22">
        <f>5+($E$4)*F20</f>
        <v>8</v>
      </c>
      <c r="D22">
        <f>1+($K$4)*F20</f>
        <v>2</v>
      </c>
      <c r="E22">
        <f>33+($H$4)*F20</f>
        <v>63</v>
      </c>
      <c r="F22">
        <v>2</v>
      </c>
      <c r="G22">
        <v>0.5</v>
      </c>
      <c r="H22">
        <v>-1</v>
      </c>
    </row>
    <row r="24" spans="3:13">
      <c r="C24" t="s">
        <v>9</v>
      </c>
      <c r="D24" t="s">
        <v>35</v>
      </c>
      <c r="E24" t="s">
        <v>11</v>
      </c>
      <c r="F24">
        <v>2</v>
      </c>
      <c r="G24" t="s">
        <v>12</v>
      </c>
      <c r="H24" t="s">
        <v>36</v>
      </c>
      <c r="I24" t="s">
        <v>14</v>
      </c>
      <c r="J24" t="s">
        <v>26</v>
      </c>
      <c r="L24" t="s">
        <v>16</v>
      </c>
      <c r="M24" t="s">
        <v>37</v>
      </c>
    </row>
    <row r="25" spans="3:8"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</row>
    <row r="26" spans="3:8">
      <c r="C26">
        <f>1+($E$4)*F24</f>
        <v>7</v>
      </c>
      <c r="D26">
        <f>1+($K$4)*F24</f>
        <v>3</v>
      </c>
      <c r="E26">
        <f>28+($H$4)*F24</f>
        <v>88</v>
      </c>
      <c r="F26">
        <v>3</v>
      </c>
      <c r="G26">
        <v>0.4</v>
      </c>
      <c r="H26">
        <v>-1</v>
      </c>
    </row>
    <row r="28" spans="3:13">
      <c r="C28" t="s">
        <v>9</v>
      </c>
      <c r="D28" t="s">
        <v>38</v>
      </c>
      <c r="E28" t="s">
        <v>11</v>
      </c>
      <c r="F28">
        <v>2</v>
      </c>
      <c r="G28" t="s">
        <v>12</v>
      </c>
      <c r="H28" t="s">
        <v>25</v>
      </c>
      <c r="I28" t="s">
        <v>14</v>
      </c>
      <c r="J28" t="s">
        <v>39</v>
      </c>
      <c r="L28" t="s">
        <v>16</v>
      </c>
      <c r="M28" t="s">
        <v>40</v>
      </c>
    </row>
    <row r="29" spans="3:8"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</row>
    <row r="30" spans="3:8">
      <c r="C30">
        <f>3+($E$4)*F28</f>
        <v>9</v>
      </c>
      <c r="D30">
        <f>1+($K$4)*F28</f>
        <v>3</v>
      </c>
      <c r="E30">
        <f>24+($H$4)*F28</f>
        <v>84</v>
      </c>
      <c r="F30">
        <v>3</v>
      </c>
      <c r="G30">
        <v>0.5</v>
      </c>
      <c r="H30">
        <v>20</v>
      </c>
    </row>
    <row r="32" spans="3:15">
      <c r="C32" t="s">
        <v>9</v>
      </c>
      <c r="D32" t="s">
        <v>41</v>
      </c>
      <c r="E32" t="s">
        <v>11</v>
      </c>
      <c r="F32">
        <v>5</v>
      </c>
      <c r="G32" t="s">
        <v>12</v>
      </c>
      <c r="H32" t="s">
        <v>42</v>
      </c>
      <c r="I32" t="s">
        <v>12</v>
      </c>
      <c r="J32" t="s">
        <v>43</v>
      </c>
      <c r="K32" t="s">
        <v>14</v>
      </c>
      <c r="L32" t="s">
        <v>44</v>
      </c>
      <c r="N32" t="s">
        <v>16</v>
      </c>
      <c r="O32" t="s">
        <v>45</v>
      </c>
    </row>
    <row r="33" spans="3:8"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</row>
    <row r="34" spans="3:8">
      <c r="C34">
        <f>5+($E$4)*F32</f>
        <v>20</v>
      </c>
      <c r="D34">
        <f>1+($K$4)*F32</f>
        <v>6</v>
      </c>
      <c r="E34">
        <f>22+($H$4)*F32</f>
        <v>172</v>
      </c>
      <c r="F34">
        <v>4</v>
      </c>
      <c r="G34">
        <v>0.4</v>
      </c>
      <c r="H34">
        <v>-1</v>
      </c>
    </row>
    <row r="36" spans="3:13">
      <c r="C36" t="s">
        <v>9</v>
      </c>
      <c r="D36" t="s">
        <v>46</v>
      </c>
      <c r="E36" t="s">
        <v>11</v>
      </c>
      <c r="F36">
        <v>4</v>
      </c>
      <c r="G36" t="s">
        <v>12</v>
      </c>
      <c r="H36" t="s">
        <v>25</v>
      </c>
      <c r="I36" t="s">
        <v>14</v>
      </c>
      <c r="J36" t="s">
        <v>15</v>
      </c>
      <c r="L36" t="s">
        <v>16</v>
      </c>
      <c r="M36" t="s">
        <v>47</v>
      </c>
    </row>
    <row r="37" spans="3:8"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</row>
    <row r="38" spans="3:8">
      <c r="C38">
        <f>4+($E$4)*F36</f>
        <v>16</v>
      </c>
      <c r="D38">
        <f>1+($K$4)*F36</f>
        <v>5</v>
      </c>
      <c r="E38">
        <f>27+($H$4)*F36</f>
        <v>147</v>
      </c>
      <c r="F38">
        <v>3</v>
      </c>
      <c r="G38">
        <v>0.5</v>
      </c>
      <c r="H38">
        <v>-1</v>
      </c>
    </row>
    <row r="41" spans="3:13">
      <c r="C41" t="s">
        <v>9</v>
      </c>
      <c r="D41" t="s">
        <v>48</v>
      </c>
      <c r="E41" t="s">
        <v>11</v>
      </c>
      <c r="F41">
        <v>5</v>
      </c>
      <c r="G41" t="s">
        <v>12</v>
      </c>
      <c r="H41" t="s">
        <v>32</v>
      </c>
      <c r="I41" t="s">
        <v>14</v>
      </c>
      <c r="J41" t="s">
        <v>49</v>
      </c>
      <c r="L41" t="s">
        <v>16</v>
      </c>
      <c r="M41" t="s">
        <v>50</v>
      </c>
    </row>
    <row r="42" spans="3:8"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</row>
    <row r="43" spans="3:8">
      <c r="C43">
        <f>3+($E$4)*F41</f>
        <v>18</v>
      </c>
      <c r="D43">
        <f>2+($K$4)*F41</f>
        <v>7</v>
      </c>
      <c r="E43">
        <f>38+($H$4)*F41</f>
        <v>188</v>
      </c>
      <c r="F43">
        <v>3</v>
      </c>
      <c r="G43">
        <v>0.4</v>
      </c>
      <c r="H43">
        <v>-1</v>
      </c>
    </row>
    <row r="45" spans="3:13">
      <c r="C45" t="s">
        <v>9</v>
      </c>
      <c r="D45" t="s">
        <v>51</v>
      </c>
      <c r="E45" t="s">
        <v>11</v>
      </c>
      <c r="F45">
        <v>2</v>
      </c>
      <c r="G45" t="s">
        <v>12</v>
      </c>
      <c r="H45" t="s">
        <v>25</v>
      </c>
      <c r="I45" t="s">
        <v>14</v>
      </c>
      <c r="J45" t="s">
        <v>52</v>
      </c>
      <c r="L45" t="s">
        <v>16</v>
      </c>
      <c r="M45" t="s">
        <v>53</v>
      </c>
    </row>
    <row r="46" spans="3:8"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</row>
    <row r="47" spans="3:8">
      <c r="C47">
        <f>2+($E$4)*F45</f>
        <v>8</v>
      </c>
      <c r="D47">
        <f>2+($K$4)*F45</f>
        <v>4</v>
      </c>
      <c r="E47">
        <f>29+($H$4)*F45</f>
        <v>89</v>
      </c>
      <c r="F47">
        <v>3</v>
      </c>
      <c r="G47">
        <v>0.5</v>
      </c>
      <c r="H47">
        <v>12</v>
      </c>
    </row>
    <row r="49" spans="3:13">
      <c r="C49" t="s">
        <v>9</v>
      </c>
      <c r="D49" t="s">
        <v>54</v>
      </c>
      <c r="E49" t="s">
        <v>11</v>
      </c>
      <c r="F49">
        <v>2</v>
      </c>
      <c r="G49" t="s">
        <v>12</v>
      </c>
      <c r="H49" t="s">
        <v>13</v>
      </c>
      <c r="I49" t="s">
        <v>14</v>
      </c>
      <c r="J49" t="s">
        <v>33</v>
      </c>
      <c r="L49" t="s">
        <v>16</v>
      </c>
      <c r="M49" t="s">
        <v>55</v>
      </c>
    </row>
    <row r="50" spans="3:8"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</row>
    <row r="51" spans="3:8">
      <c r="C51">
        <f>1+($E$4)*F49</f>
        <v>7</v>
      </c>
      <c r="D51">
        <f>3+($K$4)*F49</f>
        <v>5</v>
      </c>
      <c r="E51">
        <f>47+($H$4)*F49</f>
        <v>107</v>
      </c>
      <c r="F51">
        <v>1</v>
      </c>
      <c r="G51">
        <v>0.5</v>
      </c>
      <c r="H51">
        <v>-1</v>
      </c>
    </row>
    <row r="53" spans="3:13">
      <c r="C53" t="s">
        <v>9</v>
      </c>
      <c r="D53" t="s">
        <v>56</v>
      </c>
      <c r="E53" t="s">
        <v>11</v>
      </c>
      <c r="F53">
        <v>2</v>
      </c>
      <c r="G53" t="s">
        <v>12</v>
      </c>
      <c r="H53" t="s">
        <v>42</v>
      </c>
      <c r="I53" t="s">
        <v>14</v>
      </c>
      <c r="J53" t="s">
        <v>52</v>
      </c>
      <c r="L53" t="s">
        <v>16</v>
      </c>
      <c r="M53" t="s">
        <v>57</v>
      </c>
    </row>
    <row r="54" spans="3:8"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</row>
    <row r="55" spans="3:8">
      <c r="C55">
        <f>4+($E$4)*F53</f>
        <v>10</v>
      </c>
      <c r="D55">
        <f>2+($K$4)*F53</f>
        <v>4</v>
      </c>
      <c r="E55">
        <f>34+($H$4)*F53</f>
        <v>94</v>
      </c>
      <c r="F55">
        <v>2</v>
      </c>
      <c r="G55">
        <v>0.4</v>
      </c>
      <c r="H55">
        <v>25</v>
      </c>
    </row>
    <row r="57" spans="3:13">
      <c r="C57" t="s">
        <v>9</v>
      </c>
      <c r="D57" t="s">
        <v>58</v>
      </c>
      <c r="E57" t="s">
        <v>11</v>
      </c>
      <c r="F57">
        <v>3</v>
      </c>
      <c r="G57" t="s">
        <v>12</v>
      </c>
      <c r="H57" t="s">
        <v>59</v>
      </c>
      <c r="I57" t="s">
        <v>14</v>
      </c>
      <c r="J57" t="s">
        <v>52</v>
      </c>
      <c r="L57" t="s">
        <v>16</v>
      </c>
      <c r="M57" t="s">
        <v>60</v>
      </c>
    </row>
    <row r="58" spans="3:8"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</row>
    <row r="59" spans="3:8">
      <c r="C59">
        <f>4+($E$4)*F57</f>
        <v>13</v>
      </c>
      <c r="D59">
        <f>1+($K$4)*F57</f>
        <v>4</v>
      </c>
      <c r="E59">
        <f>39+($H$4)*F57</f>
        <v>129</v>
      </c>
      <c r="F59">
        <v>2</v>
      </c>
      <c r="G59">
        <v>0.4</v>
      </c>
      <c r="H59">
        <v>-1</v>
      </c>
    </row>
    <row r="61" spans="3:13">
      <c r="C61" t="s">
        <v>9</v>
      </c>
      <c r="D61" t="s">
        <v>61</v>
      </c>
      <c r="E61" t="s">
        <v>11</v>
      </c>
      <c r="F61">
        <v>4</v>
      </c>
      <c r="G61" t="s">
        <v>12</v>
      </c>
      <c r="H61" t="s">
        <v>59</v>
      </c>
      <c r="I61" t="s">
        <v>14</v>
      </c>
      <c r="J61" t="s">
        <v>39</v>
      </c>
      <c r="L61" t="s">
        <v>16</v>
      </c>
      <c r="M61" t="s">
        <v>62</v>
      </c>
    </row>
    <row r="62" spans="3:8"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</row>
    <row r="63" spans="3:8">
      <c r="C63">
        <f>6+($E$4)*F61</f>
        <v>18</v>
      </c>
      <c r="D63">
        <f>1+($K$4)*F61</f>
        <v>5</v>
      </c>
      <c r="E63">
        <f>21+($H$4)*F61</f>
        <v>141</v>
      </c>
      <c r="F63">
        <v>3</v>
      </c>
      <c r="G63">
        <v>0.4</v>
      </c>
      <c r="H63">
        <v>20</v>
      </c>
    </row>
    <row r="65" spans="3:13">
      <c r="C65" t="s">
        <v>9</v>
      </c>
      <c r="D65" t="s">
        <v>63</v>
      </c>
      <c r="E65" t="s">
        <v>11</v>
      </c>
      <c r="F65">
        <v>5</v>
      </c>
      <c r="G65" t="s">
        <v>12</v>
      </c>
      <c r="H65" t="s">
        <v>36</v>
      </c>
      <c r="I65" t="s">
        <v>14</v>
      </c>
      <c r="J65" t="s">
        <v>64</v>
      </c>
      <c r="L65" t="s">
        <v>16</v>
      </c>
      <c r="M65" t="s">
        <v>65</v>
      </c>
    </row>
    <row r="66" spans="3:8"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</row>
    <row r="67" spans="3:8">
      <c r="C67">
        <f>1+($E$4)*F65</f>
        <v>16</v>
      </c>
      <c r="D67">
        <f>3+($K$4)*F65</f>
        <v>8</v>
      </c>
      <c r="E67">
        <f>50+($H$4)*F65</f>
        <v>200</v>
      </c>
      <c r="F67">
        <v>5</v>
      </c>
      <c r="G67">
        <v>0.5</v>
      </c>
      <c r="H67">
        <v>-1</v>
      </c>
    </row>
    <row r="69" spans="3:13">
      <c r="C69" t="s">
        <v>9</v>
      </c>
      <c r="D69" t="s">
        <v>66</v>
      </c>
      <c r="E69" t="s">
        <v>11</v>
      </c>
      <c r="F69">
        <v>2</v>
      </c>
      <c r="G69" t="s">
        <v>12</v>
      </c>
      <c r="H69" t="s">
        <v>67</v>
      </c>
      <c r="I69" t="s">
        <v>14</v>
      </c>
      <c r="J69" t="s">
        <v>26</v>
      </c>
      <c r="L69" t="s">
        <v>16</v>
      </c>
      <c r="M69" t="s">
        <v>68</v>
      </c>
    </row>
    <row r="70" spans="3:8"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</row>
    <row r="71" spans="3:8">
      <c r="C71">
        <f>4+($E$4)*F69</f>
        <v>10</v>
      </c>
      <c r="D71">
        <f>2+($K$4)*F69</f>
        <v>4</v>
      </c>
      <c r="E71">
        <f>31+($H$4)*F69</f>
        <v>91</v>
      </c>
      <c r="F71">
        <v>3</v>
      </c>
      <c r="G71">
        <v>0.5</v>
      </c>
      <c r="H71">
        <v>10</v>
      </c>
    </row>
    <row r="73" spans="3:13">
      <c r="C73" t="s">
        <v>9</v>
      </c>
      <c r="D73" t="s">
        <v>69</v>
      </c>
      <c r="E73" t="s">
        <v>11</v>
      </c>
      <c r="F73">
        <v>1</v>
      </c>
      <c r="G73" t="s">
        <v>12</v>
      </c>
      <c r="H73" t="s">
        <v>59</v>
      </c>
      <c r="I73" t="s">
        <v>14</v>
      </c>
      <c r="J73" t="s">
        <v>39</v>
      </c>
      <c r="L73" t="s">
        <v>16</v>
      </c>
      <c r="M73" t="s">
        <v>70</v>
      </c>
    </row>
    <row r="74" spans="3:8"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</row>
    <row r="75" spans="3:8">
      <c r="C75">
        <f>2+($E$4)*F73</f>
        <v>5</v>
      </c>
      <c r="D75">
        <f>2+($K$4)*F73</f>
        <v>3</v>
      </c>
      <c r="E75">
        <f>28+($H$4)*F73</f>
        <v>58</v>
      </c>
      <c r="F75">
        <v>3</v>
      </c>
      <c r="G75">
        <v>0.5</v>
      </c>
      <c r="H75">
        <v>20</v>
      </c>
    </row>
    <row r="77" spans="3:15">
      <c r="C77" t="s">
        <v>9</v>
      </c>
      <c r="D77" t="s">
        <v>71</v>
      </c>
      <c r="E77" t="s">
        <v>11</v>
      </c>
      <c r="F77">
        <v>1</v>
      </c>
      <c r="G77" t="s">
        <v>12</v>
      </c>
      <c r="H77" t="s">
        <v>36</v>
      </c>
      <c r="I77" t="s">
        <v>14</v>
      </c>
      <c r="J77" t="s">
        <v>52</v>
      </c>
      <c r="K77" t="s">
        <v>14</v>
      </c>
      <c r="L77" t="s">
        <v>72</v>
      </c>
      <c r="N77" t="s">
        <v>16</v>
      </c>
      <c r="O77" t="s">
        <v>73</v>
      </c>
    </row>
    <row r="78" spans="3:8"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</row>
    <row r="79" spans="3:8">
      <c r="C79">
        <f>1+($E$4)*F77</f>
        <v>4</v>
      </c>
      <c r="D79">
        <f>2+($K$4)*F77</f>
        <v>3</v>
      </c>
      <c r="E79">
        <f>46+($H$4)*F77</f>
        <v>76</v>
      </c>
      <c r="F79">
        <v>2</v>
      </c>
      <c r="G79">
        <v>0.5</v>
      </c>
      <c r="H79">
        <v>-1</v>
      </c>
    </row>
    <row r="81" spans="3:13">
      <c r="C81" t="s">
        <v>9</v>
      </c>
      <c r="D81" t="s">
        <v>74</v>
      </c>
      <c r="E81" t="s">
        <v>11</v>
      </c>
      <c r="F81">
        <v>2</v>
      </c>
      <c r="G81" t="s">
        <v>12</v>
      </c>
      <c r="H81" t="s">
        <v>32</v>
      </c>
      <c r="I81" t="s">
        <v>14</v>
      </c>
      <c r="J81" t="s">
        <v>64</v>
      </c>
      <c r="L81" t="s">
        <v>16</v>
      </c>
      <c r="M81" t="s">
        <v>75</v>
      </c>
    </row>
    <row r="82" spans="3:8"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</row>
    <row r="83" spans="3:8">
      <c r="C83">
        <f>5+($E$4)*F81</f>
        <v>11</v>
      </c>
      <c r="D83">
        <f>2+($K$4)*F81</f>
        <v>4</v>
      </c>
      <c r="E83">
        <f>38+($H$4)*F81</f>
        <v>98</v>
      </c>
      <c r="F83">
        <v>2</v>
      </c>
      <c r="G83">
        <v>0.5</v>
      </c>
      <c r="H83">
        <v>15</v>
      </c>
    </row>
    <row r="85" spans="3:13">
      <c r="C85" t="s">
        <v>9</v>
      </c>
      <c r="D85" t="s">
        <v>76</v>
      </c>
      <c r="E85" t="s">
        <v>11</v>
      </c>
      <c r="F85">
        <v>1</v>
      </c>
      <c r="G85" t="s">
        <v>12</v>
      </c>
      <c r="H85" t="s">
        <v>32</v>
      </c>
      <c r="I85" t="s">
        <v>14</v>
      </c>
      <c r="J85" t="s">
        <v>44</v>
      </c>
      <c r="L85" t="s">
        <v>16</v>
      </c>
      <c r="M85" t="s">
        <v>77</v>
      </c>
    </row>
    <row r="86" spans="3:8"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</row>
    <row r="87" spans="3:8">
      <c r="C87">
        <f>6+($E$4)*F85</f>
        <v>9</v>
      </c>
      <c r="D87">
        <f>2+($K$4)*F85</f>
        <v>3</v>
      </c>
      <c r="E87">
        <f>27+($H$4)*F85</f>
        <v>57</v>
      </c>
      <c r="F87">
        <v>2</v>
      </c>
      <c r="G87">
        <v>0.5</v>
      </c>
      <c r="H87">
        <v>16</v>
      </c>
    </row>
    <row r="89" spans="3:15">
      <c r="C89" t="s">
        <v>9</v>
      </c>
      <c r="D89" t="s">
        <v>78</v>
      </c>
      <c r="E89" t="s">
        <v>11</v>
      </c>
      <c r="F89">
        <v>4</v>
      </c>
      <c r="G89" t="s">
        <v>12</v>
      </c>
      <c r="H89" t="s">
        <v>32</v>
      </c>
      <c r="I89" t="s">
        <v>14</v>
      </c>
      <c r="J89" t="s">
        <v>39</v>
      </c>
      <c r="K89" t="s">
        <v>14</v>
      </c>
      <c r="L89" t="s">
        <v>72</v>
      </c>
      <c r="N89" t="s">
        <v>16</v>
      </c>
      <c r="O89" t="s">
        <v>79</v>
      </c>
    </row>
    <row r="90" spans="3:8"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</row>
    <row r="91" spans="3:8">
      <c r="C91">
        <f>5+($E$4)*F89</f>
        <v>17</v>
      </c>
      <c r="D91">
        <f>2+($K$4)*F89</f>
        <v>6</v>
      </c>
      <c r="E91">
        <f>26+($H$4)*F89</f>
        <v>146</v>
      </c>
      <c r="F91">
        <v>2</v>
      </c>
      <c r="G91">
        <v>0.5</v>
      </c>
      <c r="H91">
        <v>20</v>
      </c>
    </row>
    <row r="93" spans="3:13">
      <c r="C93" t="s">
        <v>9</v>
      </c>
      <c r="D93" t="s">
        <v>80</v>
      </c>
      <c r="E93" t="s">
        <v>11</v>
      </c>
      <c r="F93">
        <v>3</v>
      </c>
      <c r="G93" t="s">
        <v>12</v>
      </c>
      <c r="H93" t="s">
        <v>13</v>
      </c>
      <c r="I93" t="s">
        <v>14</v>
      </c>
      <c r="J93" t="s">
        <v>39</v>
      </c>
      <c r="L93" t="s">
        <v>16</v>
      </c>
      <c r="M93" t="s">
        <v>81</v>
      </c>
    </row>
    <row r="94" spans="3:8"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</row>
    <row r="95" spans="3:8">
      <c r="C95">
        <f>5+($E$4)*F93</f>
        <v>14</v>
      </c>
      <c r="D95">
        <f>3+($K$4)*F93</f>
        <v>6</v>
      </c>
      <c r="E95">
        <f>47+($H$4)*F93</f>
        <v>137</v>
      </c>
      <c r="F95">
        <v>2</v>
      </c>
      <c r="G95">
        <v>0.4</v>
      </c>
      <c r="H95">
        <v>20</v>
      </c>
    </row>
    <row r="97" spans="3:13">
      <c r="C97" t="s">
        <v>9</v>
      </c>
      <c r="D97" t="s">
        <v>82</v>
      </c>
      <c r="E97" t="s">
        <v>11</v>
      </c>
      <c r="F97">
        <v>2</v>
      </c>
      <c r="G97" t="s">
        <v>12</v>
      </c>
      <c r="H97" t="s">
        <v>13</v>
      </c>
      <c r="I97" t="s">
        <v>14</v>
      </c>
      <c r="J97" t="s">
        <v>49</v>
      </c>
      <c r="L97" t="s">
        <v>16</v>
      </c>
      <c r="M97" t="s">
        <v>83</v>
      </c>
    </row>
    <row r="98" spans="3:8"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</row>
    <row r="99" spans="3:8">
      <c r="C99">
        <f>4+($E$4)*F97</f>
        <v>10</v>
      </c>
      <c r="D99">
        <f>3+($K$4)*F97</f>
        <v>5</v>
      </c>
      <c r="E99">
        <f>40+($H$4)*F97</f>
        <v>100</v>
      </c>
      <c r="F99">
        <v>2</v>
      </c>
      <c r="G99">
        <v>0.5</v>
      </c>
      <c r="H99">
        <v>16</v>
      </c>
    </row>
    <row r="101" spans="3:13">
      <c r="C101" t="s">
        <v>9</v>
      </c>
      <c r="D101" t="s">
        <v>84</v>
      </c>
      <c r="E101" t="s">
        <v>11</v>
      </c>
      <c r="F101">
        <v>2</v>
      </c>
      <c r="G101" t="s">
        <v>12</v>
      </c>
      <c r="H101" t="s">
        <v>36</v>
      </c>
      <c r="I101" t="s">
        <v>14</v>
      </c>
      <c r="J101" t="s">
        <v>39</v>
      </c>
      <c r="L101" t="s">
        <v>16</v>
      </c>
      <c r="M101" t="s">
        <v>85</v>
      </c>
    </row>
    <row r="102" spans="3:8"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</row>
    <row r="103" spans="3:8">
      <c r="C103">
        <f>1+($E$4)*F101</f>
        <v>7</v>
      </c>
      <c r="D103">
        <f>1+($K$4)*F101</f>
        <v>3</v>
      </c>
      <c r="E103">
        <f>20+($H$4)*F101</f>
        <v>80</v>
      </c>
      <c r="F103">
        <v>3</v>
      </c>
      <c r="G103">
        <v>0.5</v>
      </c>
      <c r="H103">
        <v>20</v>
      </c>
    </row>
    <row r="105" spans="3:13">
      <c r="C105" t="s">
        <v>9</v>
      </c>
      <c r="D105" t="s">
        <v>86</v>
      </c>
      <c r="E105" t="s">
        <v>11</v>
      </c>
      <c r="F105">
        <v>1</v>
      </c>
      <c r="G105" t="s">
        <v>12</v>
      </c>
      <c r="H105" t="s">
        <v>67</v>
      </c>
      <c r="I105" t="s">
        <v>14</v>
      </c>
      <c r="J105" t="s">
        <v>33</v>
      </c>
      <c r="L105" t="s">
        <v>16</v>
      </c>
      <c r="M105" t="s">
        <v>87</v>
      </c>
    </row>
    <row r="106" spans="3:8"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</row>
    <row r="107" spans="3:8">
      <c r="C107">
        <f>2+($E$4)*F105</f>
        <v>5</v>
      </c>
      <c r="D107">
        <f>1+($K$4)*F105</f>
        <v>2</v>
      </c>
      <c r="E107">
        <f>25+($H$4)*F105</f>
        <v>55</v>
      </c>
      <c r="F107">
        <v>2</v>
      </c>
      <c r="G107">
        <v>0.5</v>
      </c>
      <c r="H107">
        <v>22</v>
      </c>
    </row>
    <row r="109" spans="3:15">
      <c r="C109" t="s">
        <v>9</v>
      </c>
      <c r="D109" t="s">
        <v>88</v>
      </c>
      <c r="E109" t="s">
        <v>11</v>
      </c>
      <c r="F109">
        <v>4</v>
      </c>
      <c r="G109" t="s">
        <v>12</v>
      </c>
      <c r="H109" t="s">
        <v>29</v>
      </c>
      <c r="I109" t="s">
        <v>14</v>
      </c>
      <c r="J109" t="s">
        <v>33</v>
      </c>
      <c r="K109" t="s">
        <v>14</v>
      </c>
      <c r="L109" t="s">
        <v>49</v>
      </c>
      <c r="N109" t="s">
        <v>16</v>
      </c>
      <c r="O109" t="s">
        <v>89</v>
      </c>
    </row>
    <row r="110" spans="3:8"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</row>
    <row r="111" spans="3:8">
      <c r="C111">
        <f>3+($E$4)*F109</f>
        <v>15</v>
      </c>
      <c r="D111">
        <f>2+($K$4)*F109</f>
        <v>6</v>
      </c>
      <c r="E111">
        <f>40+($H$4)*F109</f>
        <v>160</v>
      </c>
      <c r="F111">
        <v>3</v>
      </c>
      <c r="G111">
        <v>0.4</v>
      </c>
      <c r="H111">
        <v>-1</v>
      </c>
    </row>
    <row r="113" spans="3:13">
      <c r="C113" t="s">
        <v>9</v>
      </c>
      <c r="D113" t="s">
        <v>90</v>
      </c>
      <c r="E113" t="s">
        <v>11</v>
      </c>
      <c r="F113">
        <v>3</v>
      </c>
      <c r="G113" t="s">
        <v>12</v>
      </c>
      <c r="H113" t="s">
        <v>29</v>
      </c>
      <c r="I113" t="s">
        <v>14</v>
      </c>
      <c r="J113" t="s">
        <v>15</v>
      </c>
      <c r="L113" t="s">
        <v>16</v>
      </c>
      <c r="M113" t="s">
        <v>91</v>
      </c>
    </row>
    <row r="114" spans="3:8"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</row>
    <row r="115" spans="3:8">
      <c r="C115">
        <f>4+($E$4)*F113</f>
        <v>13</v>
      </c>
      <c r="D115">
        <f>3+($K$4)*F113</f>
        <v>6</v>
      </c>
      <c r="E115">
        <f>50+($H$4)*F113</f>
        <v>140</v>
      </c>
      <c r="F115">
        <v>1</v>
      </c>
      <c r="G115">
        <v>0.4</v>
      </c>
      <c r="H115">
        <v>22</v>
      </c>
    </row>
    <row r="117" spans="3:13">
      <c r="C117" t="s">
        <v>9</v>
      </c>
      <c r="D117" t="s">
        <v>92</v>
      </c>
      <c r="E117" t="s">
        <v>11</v>
      </c>
      <c r="F117">
        <v>3</v>
      </c>
      <c r="G117" t="s">
        <v>12</v>
      </c>
      <c r="H117" t="s">
        <v>32</v>
      </c>
      <c r="I117" t="s">
        <v>14</v>
      </c>
      <c r="J117" t="s">
        <v>26</v>
      </c>
      <c r="L117" t="s">
        <v>16</v>
      </c>
      <c r="M117" t="s">
        <v>93</v>
      </c>
    </row>
    <row r="118" spans="3:8"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</row>
    <row r="119" spans="3:8">
      <c r="C119">
        <f>5+($E$4)*F117</f>
        <v>14</v>
      </c>
      <c r="D119">
        <f>2+($K$4)*F117</f>
        <v>5</v>
      </c>
      <c r="E119">
        <f>38+($H$4)*F117</f>
        <v>128</v>
      </c>
      <c r="F119">
        <v>3</v>
      </c>
      <c r="G119">
        <v>0.5</v>
      </c>
      <c r="H119">
        <v>-1</v>
      </c>
    </row>
    <row r="121" spans="3:13">
      <c r="C121" t="s">
        <v>9</v>
      </c>
      <c r="D121" t="s">
        <v>94</v>
      </c>
      <c r="E121" t="s">
        <v>11</v>
      </c>
      <c r="F121">
        <v>3</v>
      </c>
      <c r="G121" t="s">
        <v>12</v>
      </c>
      <c r="H121" t="s">
        <v>59</v>
      </c>
      <c r="I121" t="s">
        <v>14</v>
      </c>
      <c r="J121" t="s">
        <v>33</v>
      </c>
      <c r="L121" t="s">
        <v>16</v>
      </c>
      <c r="M121" t="s">
        <v>95</v>
      </c>
    </row>
    <row r="122" spans="3:8"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</row>
    <row r="123" spans="3:8">
      <c r="C123">
        <f>3+($E$4)*F121</f>
        <v>12</v>
      </c>
      <c r="D123">
        <f>2+($K$4)*F121</f>
        <v>5</v>
      </c>
      <c r="E123">
        <f>34+($H$4)*F121</f>
        <v>124</v>
      </c>
      <c r="F123">
        <v>3</v>
      </c>
      <c r="G123">
        <v>0.5</v>
      </c>
      <c r="H123">
        <v>18</v>
      </c>
    </row>
    <row r="125" spans="3:15">
      <c r="C125" t="s">
        <v>9</v>
      </c>
      <c r="D125" t="s">
        <v>96</v>
      </c>
      <c r="E125" t="s">
        <v>11</v>
      </c>
      <c r="F125">
        <v>5</v>
      </c>
      <c r="G125" t="s">
        <v>12</v>
      </c>
      <c r="H125" t="s">
        <v>13</v>
      </c>
      <c r="I125" t="s">
        <v>14</v>
      </c>
      <c r="J125" t="s">
        <v>33</v>
      </c>
      <c r="K125" t="s">
        <v>14</v>
      </c>
      <c r="L125" t="s">
        <v>52</v>
      </c>
      <c r="N125" t="s">
        <v>16</v>
      </c>
      <c r="O125" t="s">
        <v>97</v>
      </c>
    </row>
    <row r="126" spans="3:8"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</row>
    <row r="127" spans="3:8">
      <c r="C127">
        <f>5+($E$4)*F125</f>
        <v>20</v>
      </c>
      <c r="D127">
        <f>3+($K$4)*F125</f>
        <v>8</v>
      </c>
      <c r="E127">
        <f>58+($H$4)*F125</f>
        <v>208</v>
      </c>
      <c r="F127">
        <v>1</v>
      </c>
      <c r="G127">
        <v>0.5</v>
      </c>
      <c r="H127">
        <v>88</v>
      </c>
    </row>
    <row r="129" spans="3:13">
      <c r="C129" t="s">
        <v>9</v>
      </c>
      <c r="D129" t="s">
        <v>98</v>
      </c>
      <c r="E129" t="s">
        <v>11</v>
      </c>
      <c r="F129">
        <v>2</v>
      </c>
      <c r="G129" t="s">
        <v>12</v>
      </c>
      <c r="H129" t="s">
        <v>32</v>
      </c>
      <c r="I129" t="s">
        <v>14</v>
      </c>
      <c r="J129" t="s">
        <v>15</v>
      </c>
      <c r="L129" t="s">
        <v>16</v>
      </c>
      <c r="M129" t="s">
        <v>99</v>
      </c>
    </row>
    <row r="130" spans="3:8"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</row>
    <row r="131" spans="3:8">
      <c r="C131">
        <f>3+($E$4)*F129</f>
        <v>9</v>
      </c>
      <c r="D131">
        <f>2+($K$4)*F129</f>
        <v>4</v>
      </c>
      <c r="E131">
        <f>35+($H$4)*F129</f>
        <v>95</v>
      </c>
      <c r="F131">
        <v>2</v>
      </c>
      <c r="G131">
        <v>0.4</v>
      </c>
      <c r="H131">
        <v>66</v>
      </c>
    </row>
    <row r="133" spans="3:13">
      <c r="C133" t="s">
        <v>9</v>
      </c>
      <c r="D133" t="s">
        <v>100</v>
      </c>
      <c r="E133" t="s">
        <v>11</v>
      </c>
      <c r="F133">
        <v>5</v>
      </c>
      <c r="G133" t="s">
        <v>12</v>
      </c>
      <c r="H133" t="s">
        <v>67</v>
      </c>
      <c r="I133" t="s">
        <v>14</v>
      </c>
      <c r="J133" t="s">
        <v>39</v>
      </c>
      <c r="L133" t="s">
        <v>16</v>
      </c>
      <c r="M133" t="s">
        <v>101</v>
      </c>
    </row>
    <row r="134" spans="3:8"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</row>
    <row r="135" spans="3:8">
      <c r="C135">
        <f>4+($E$4)*F133</f>
        <v>19</v>
      </c>
      <c r="D135">
        <f>2+($K$4)*F133</f>
        <v>7</v>
      </c>
      <c r="E135">
        <f>24+($H$4)*F133</f>
        <v>174</v>
      </c>
      <c r="F135">
        <v>4</v>
      </c>
      <c r="G135">
        <v>0.5</v>
      </c>
      <c r="H135">
        <v>20</v>
      </c>
    </row>
    <row r="137" spans="3:13">
      <c r="C137" t="s">
        <v>9</v>
      </c>
      <c r="D137" t="s">
        <v>102</v>
      </c>
      <c r="E137" t="s">
        <v>11</v>
      </c>
      <c r="F137">
        <v>3</v>
      </c>
      <c r="G137" t="s">
        <v>12</v>
      </c>
      <c r="H137" t="s">
        <v>59</v>
      </c>
      <c r="I137" t="s">
        <v>14</v>
      </c>
      <c r="J137" t="s">
        <v>26</v>
      </c>
      <c r="L137" t="s">
        <v>16</v>
      </c>
      <c r="M137" t="s">
        <v>103</v>
      </c>
    </row>
    <row r="138" spans="3:8"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</row>
    <row r="139" spans="3:8">
      <c r="C139">
        <f>6+($E$4)*F137</f>
        <v>15</v>
      </c>
      <c r="D139">
        <f>1+($K$4)*F137</f>
        <v>4</v>
      </c>
      <c r="E139">
        <f>22+($H$4)*F137</f>
        <v>112</v>
      </c>
      <c r="F139">
        <v>3</v>
      </c>
      <c r="G139">
        <v>0.5</v>
      </c>
      <c r="H139">
        <v>25</v>
      </c>
    </row>
    <row r="141" spans="3:13">
      <c r="C141" t="s">
        <v>9</v>
      </c>
      <c r="D141" t="s">
        <v>104</v>
      </c>
      <c r="E141" t="s">
        <v>11</v>
      </c>
      <c r="F141">
        <v>3</v>
      </c>
      <c r="G141" t="s">
        <v>12</v>
      </c>
      <c r="H141" t="s">
        <v>13</v>
      </c>
      <c r="I141" t="s">
        <v>14</v>
      </c>
      <c r="J141" t="s">
        <v>44</v>
      </c>
      <c r="L141" t="s">
        <v>16</v>
      </c>
      <c r="M141" t="s">
        <v>105</v>
      </c>
    </row>
    <row r="142" spans="3:8"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</row>
    <row r="143" spans="3:8">
      <c r="C143">
        <f>4+($E$4)*F141</f>
        <v>13</v>
      </c>
      <c r="D143">
        <f>3+($K$4)*F141</f>
        <v>6</v>
      </c>
      <c r="E143">
        <f>43+($H$4)*F141</f>
        <v>133</v>
      </c>
      <c r="F143">
        <v>2</v>
      </c>
      <c r="G143">
        <v>0.5</v>
      </c>
      <c r="H143">
        <v>20</v>
      </c>
    </row>
    <row r="145" spans="3:13">
      <c r="C145" t="s">
        <v>9</v>
      </c>
      <c r="D145" t="s">
        <v>106</v>
      </c>
      <c r="E145" t="s">
        <v>11</v>
      </c>
      <c r="F145">
        <v>5</v>
      </c>
      <c r="G145" t="s">
        <v>12</v>
      </c>
      <c r="H145" t="s">
        <v>59</v>
      </c>
      <c r="I145" t="s">
        <v>14</v>
      </c>
      <c r="J145" t="s">
        <v>15</v>
      </c>
      <c r="L145" t="s">
        <v>16</v>
      </c>
      <c r="M145" t="s">
        <v>107</v>
      </c>
    </row>
    <row r="146" spans="3:8"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</row>
    <row r="147" spans="3:8">
      <c r="C147">
        <f>4+($E$4)*F145</f>
        <v>19</v>
      </c>
      <c r="D147">
        <f>1+($K$4)*F145</f>
        <v>6</v>
      </c>
      <c r="E147">
        <f>24+($H$4)*F145</f>
        <v>174</v>
      </c>
      <c r="F147">
        <v>4</v>
      </c>
      <c r="G147">
        <v>0.5</v>
      </c>
      <c r="H147">
        <v>10</v>
      </c>
    </row>
    <row r="149" spans="3:15">
      <c r="C149" t="s">
        <v>9</v>
      </c>
      <c r="D149" t="s">
        <v>108</v>
      </c>
      <c r="E149" t="s">
        <v>11</v>
      </c>
      <c r="F149">
        <v>4</v>
      </c>
      <c r="G149" t="s">
        <v>12</v>
      </c>
      <c r="H149" t="s">
        <v>25</v>
      </c>
      <c r="I149" t="s">
        <v>12</v>
      </c>
      <c r="J149" t="s">
        <v>36</v>
      </c>
      <c r="K149" t="s">
        <v>14</v>
      </c>
      <c r="L149" t="s">
        <v>49</v>
      </c>
      <c r="M149"/>
      <c r="N149" t="s">
        <v>16</v>
      </c>
      <c r="O149" t="s">
        <v>109</v>
      </c>
    </row>
    <row r="150" spans="3:8"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</row>
    <row r="151" spans="3:8">
      <c r="C151">
        <f>10+($E$4)*F149</f>
        <v>22</v>
      </c>
      <c r="D151">
        <v>0</v>
      </c>
      <c r="E151">
        <v>1</v>
      </c>
      <c r="F151">
        <v>4</v>
      </c>
      <c r="G151">
        <v>0.6</v>
      </c>
      <c r="H151">
        <v>-1</v>
      </c>
    </row>
    <row r="153" spans="3:13">
      <c r="C153" t="s">
        <v>9</v>
      </c>
      <c r="D153" t="s">
        <v>110</v>
      </c>
      <c r="E153" t="s">
        <v>11</v>
      </c>
      <c r="F153">
        <v>1</v>
      </c>
      <c r="G153" t="s">
        <v>12</v>
      </c>
      <c r="H153" t="s">
        <v>43</v>
      </c>
      <c r="I153" t="s">
        <v>14</v>
      </c>
      <c r="J153" t="s">
        <v>64</v>
      </c>
      <c r="L153" t="s">
        <v>16</v>
      </c>
      <c r="M153" t="s">
        <v>111</v>
      </c>
    </row>
    <row r="154" spans="3:8"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</row>
    <row r="155" spans="3:8">
      <c r="C155">
        <f>5+($E$4)*F153</f>
        <v>8</v>
      </c>
      <c r="D155">
        <f>3+($K$4)*F153</f>
        <v>4</v>
      </c>
      <c r="E155">
        <f>28+($H$4)*F153</f>
        <v>58</v>
      </c>
      <c r="F155">
        <v>2</v>
      </c>
      <c r="G155">
        <v>0.5</v>
      </c>
      <c r="H155">
        <v>15</v>
      </c>
    </row>
    <row r="157" spans="3:13">
      <c r="C157" t="s">
        <v>9</v>
      </c>
      <c r="D157" t="s">
        <v>112</v>
      </c>
      <c r="E157" t="s">
        <v>11</v>
      </c>
      <c r="F157">
        <v>3</v>
      </c>
      <c r="G157" t="s">
        <v>12</v>
      </c>
      <c r="H157" t="s">
        <v>42</v>
      </c>
      <c r="I157" t="s">
        <v>14</v>
      </c>
      <c r="J157" t="s">
        <v>64</v>
      </c>
      <c r="L157" t="s">
        <v>16</v>
      </c>
      <c r="M157" t="s">
        <v>113</v>
      </c>
    </row>
    <row r="158" spans="3:8"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</row>
    <row r="159" spans="3:8">
      <c r="C159">
        <f>3+($E$4)*F157</f>
        <v>12</v>
      </c>
      <c r="D159">
        <f>1+($K$4)*F157</f>
        <v>4</v>
      </c>
      <c r="E159">
        <f>25+($H$4)*F157</f>
        <v>115</v>
      </c>
      <c r="F159">
        <v>3</v>
      </c>
      <c r="G159">
        <v>0.5</v>
      </c>
      <c r="H159">
        <v>-1</v>
      </c>
    </row>
    <row r="161" spans="3:13">
      <c r="C161" t="s">
        <v>9</v>
      </c>
      <c r="D161" t="s">
        <v>114</v>
      </c>
      <c r="E161" t="s">
        <v>11</v>
      </c>
      <c r="F161">
        <v>3</v>
      </c>
      <c r="G161" t="s">
        <v>12</v>
      </c>
      <c r="H161" t="s">
        <v>43</v>
      </c>
      <c r="I161" t="s">
        <v>14</v>
      </c>
      <c r="J161" t="s">
        <v>39</v>
      </c>
      <c r="L161" t="s">
        <v>16</v>
      </c>
      <c r="M161" t="s">
        <v>115</v>
      </c>
    </row>
    <row r="162" spans="3:8"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</row>
    <row r="163" spans="3:8">
      <c r="C163">
        <f>4+($E$4)*F161</f>
        <v>13</v>
      </c>
      <c r="D163">
        <f>1+($K$4)*F161</f>
        <v>4</v>
      </c>
      <c r="E163">
        <f>45+($H$4)*F161</f>
        <v>135</v>
      </c>
      <c r="F163">
        <v>3</v>
      </c>
      <c r="G163">
        <v>0.4</v>
      </c>
      <c r="H163">
        <v>20</v>
      </c>
    </row>
    <row r="165" spans="3:13">
      <c r="C165" t="s">
        <v>9</v>
      </c>
      <c r="D165" t="s">
        <v>116</v>
      </c>
      <c r="E165" t="s">
        <v>11</v>
      </c>
      <c r="F165">
        <v>5</v>
      </c>
      <c r="G165" t="s">
        <v>12</v>
      </c>
      <c r="H165" t="s">
        <v>59</v>
      </c>
      <c r="I165" t="s">
        <v>14</v>
      </c>
      <c r="J165" t="s">
        <v>72</v>
      </c>
      <c r="L165" t="s">
        <v>16</v>
      </c>
      <c r="M165" t="s">
        <v>117</v>
      </c>
    </row>
    <row r="166" spans="3:8"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</row>
    <row r="167" spans="3:8">
      <c r="C167">
        <f>2+($E$4)*F165</f>
        <v>17</v>
      </c>
      <c r="D167">
        <f>1+($K$4)*F165</f>
        <v>6</v>
      </c>
      <c r="E167">
        <f>28+($H$4)*F165</f>
        <v>178</v>
      </c>
      <c r="F167">
        <v>4</v>
      </c>
      <c r="G167">
        <v>0.6</v>
      </c>
      <c r="H167">
        <v>36</v>
      </c>
    </row>
    <row r="169" spans="3:13">
      <c r="C169" t="s">
        <v>9</v>
      </c>
      <c r="D169" t="s">
        <v>118</v>
      </c>
      <c r="E169" t="s">
        <v>11</v>
      </c>
      <c r="F169">
        <v>4</v>
      </c>
      <c r="G169" t="s">
        <v>12</v>
      </c>
      <c r="H169" t="s">
        <v>42</v>
      </c>
      <c r="I169" t="s">
        <v>14</v>
      </c>
      <c r="J169" t="s">
        <v>72</v>
      </c>
      <c r="L169" t="s">
        <v>16</v>
      </c>
      <c r="M169" t="s">
        <v>119</v>
      </c>
    </row>
    <row r="170" spans="3:8"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</row>
    <row r="171" spans="3:8">
      <c r="C171">
        <f>6+($E$4)*F169</f>
        <v>18</v>
      </c>
      <c r="D171">
        <f>1+($K$4)*F169</f>
        <v>5</v>
      </c>
      <c r="E171">
        <f>22+($H$4)*F169</f>
        <v>142</v>
      </c>
      <c r="F171">
        <v>2</v>
      </c>
      <c r="G171">
        <v>0.5</v>
      </c>
      <c r="H171">
        <v>15</v>
      </c>
    </row>
    <row r="173" spans="3:15">
      <c r="C173" t="s">
        <v>9</v>
      </c>
      <c r="D173" t="s">
        <v>120</v>
      </c>
      <c r="E173" t="s">
        <v>11</v>
      </c>
      <c r="F173">
        <v>3</v>
      </c>
      <c r="G173" t="s">
        <v>12</v>
      </c>
      <c r="H173" t="s">
        <v>29</v>
      </c>
      <c r="I173" t="s">
        <v>12</v>
      </c>
      <c r="J173" t="s">
        <v>43</v>
      </c>
      <c r="K173" t="s">
        <v>14</v>
      </c>
      <c r="L173" t="s">
        <v>64</v>
      </c>
      <c r="N173" t="s">
        <v>16</v>
      </c>
      <c r="O173" t="s">
        <v>121</v>
      </c>
    </row>
    <row r="174" spans="3:8"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</row>
    <row r="175" spans="3:8">
      <c r="C175">
        <f>5+($E$4)*F173</f>
        <v>14</v>
      </c>
      <c r="D175">
        <f>2+($K$4)*F173</f>
        <v>5</v>
      </c>
      <c r="E175">
        <f>32+($H$4)*F173</f>
        <v>122</v>
      </c>
      <c r="F175">
        <v>2</v>
      </c>
      <c r="G175">
        <v>0.5</v>
      </c>
      <c r="H175">
        <v>16</v>
      </c>
    </row>
    <row r="177" spans="3:13">
      <c r="C177" t="s">
        <v>9</v>
      </c>
      <c r="D177" t="s">
        <v>122</v>
      </c>
      <c r="E177" t="s">
        <v>11</v>
      </c>
      <c r="F177">
        <v>3</v>
      </c>
      <c r="G177" t="s">
        <v>12</v>
      </c>
      <c r="H177" t="s">
        <v>42</v>
      </c>
      <c r="I177" t="s">
        <v>14</v>
      </c>
      <c r="J177" t="s">
        <v>49</v>
      </c>
      <c r="L177" t="s">
        <v>16</v>
      </c>
      <c r="M177" t="s">
        <v>123</v>
      </c>
    </row>
    <row r="178" spans="3:8"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</row>
    <row r="179" spans="3:8">
      <c r="C179">
        <f>6+($E$4)*F177</f>
        <v>15</v>
      </c>
      <c r="D179">
        <f>3+($K$4)*F177</f>
        <v>6</v>
      </c>
      <c r="E179">
        <f>43+($H$4)*F177</f>
        <v>133</v>
      </c>
      <c r="F179">
        <v>3</v>
      </c>
      <c r="G179">
        <v>0.4</v>
      </c>
      <c r="H179">
        <v>-1</v>
      </c>
    </row>
    <row r="181" spans="3:13">
      <c r="C181" t="s">
        <v>9</v>
      </c>
      <c r="D181" t="s">
        <v>124</v>
      </c>
      <c r="E181" t="s">
        <v>11</v>
      </c>
      <c r="F181">
        <v>6</v>
      </c>
      <c r="G181" t="s">
        <v>12</v>
      </c>
      <c r="H181" t="s">
        <v>25</v>
      </c>
      <c r="I181" t="s">
        <v>14</v>
      </c>
      <c r="J181" t="s">
        <v>26</v>
      </c>
      <c r="L181" t="s">
        <v>16</v>
      </c>
      <c r="M181" t="s">
        <v>125</v>
      </c>
    </row>
    <row r="182" spans="3:8"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</row>
    <row r="183" spans="3:8">
      <c r="C183">
        <f>5+($E$4)*F181</f>
        <v>23</v>
      </c>
      <c r="D183">
        <f>1+($K$4)*F181</f>
        <v>7</v>
      </c>
      <c r="E183">
        <f>38+($H$4)*F181</f>
        <v>218</v>
      </c>
      <c r="F183">
        <v>4</v>
      </c>
      <c r="G183">
        <v>0.4</v>
      </c>
      <c r="H183">
        <v>15</v>
      </c>
    </row>
    <row r="185" spans="3:13">
      <c r="C185" t="s">
        <v>9</v>
      </c>
      <c r="D185" t="s">
        <v>126</v>
      </c>
      <c r="E185" t="s">
        <v>11</v>
      </c>
      <c r="F185">
        <v>6</v>
      </c>
      <c r="G185" t="s">
        <v>12</v>
      </c>
      <c r="H185" t="s">
        <v>13</v>
      </c>
      <c r="I185" t="s">
        <v>14</v>
      </c>
      <c r="J185" t="s">
        <v>127</v>
      </c>
      <c r="L185" t="s">
        <v>16</v>
      </c>
      <c r="M185" t="s">
        <v>128</v>
      </c>
    </row>
    <row r="186" spans="3:8"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</row>
    <row r="187" spans="3:8">
      <c r="C187">
        <f>6+($E$4)*F185</f>
        <v>24</v>
      </c>
      <c r="D187">
        <f>3+($K$4)*F185</f>
        <v>9</v>
      </c>
      <c r="E187">
        <f>45+($H$4)*F185</f>
        <v>225</v>
      </c>
      <c r="F187">
        <v>3</v>
      </c>
      <c r="G187">
        <v>0.5</v>
      </c>
      <c r="H187">
        <v>-1</v>
      </c>
    </row>
    <row r="189" spans="3:13">
      <c r="C189" t="s">
        <v>9</v>
      </c>
      <c r="D189" t="s">
        <v>129</v>
      </c>
      <c r="E189" t="s">
        <v>11</v>
      </c>
      <c r="F189">
        <v>4</v>
      </c>
      <c r="G189" t="s">
        <v>12</v>
      </c>
      <c r="H189" t="s">
        <v>67</v>
      </c>
      <c r="I189" t="s">
        <v>14</v>
      </c>
      <c r="J189" t="s">
        <v>44</v>
      </c>
      <c r="L189" t="s">
        <v>16</v>
      </c>
      <c r="M189" t="s">
        <v>130</v>
      </c>
    </row>
    <row r="190" spans="3:8"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</row>
    <row r="191" spans="3:8">
      <c r="C191">
        <f>2+($E$4)*F189</f>
        <v>14</v>
      </c>
      <c r="D191">
        <f>2+($K$4)*F189</f>
        <v>6</v>
      </c>
      <c r="E191">
        <f>28+($H$4)*F189</f>
        <v>148</v>
      </c>
      <c r="F191">
        <v>3</v>
      </c>
      <c r="G191">
        <v>0.5</v>
      </c>
      <c r="H191">
        <v>24</v>
      </c>
    </row>
    <row r="193" spans="3:13">
      <c r="C193" t="s">
        <v>9</v>
      </c>
      <c r="D193" t="s">
        <v>131</v>
      </c>
      <c r="E193" t="s">
        <v>11</v>
      </c>
      <c r="F193">
        <v>6</v>
      </c>
      <c r="G193" t="s">
        <v>12</v>
      </c>
      <c r="H193" t="s">
        <v>29</v>
      </c>
      <c r="I193" t="s">
        <v>14</v>
      </c>
      <c r="J193" t="s">
        <v>39</v>
      </c>
      <c r="L193" t="s">
        <v>16</v>
      </c>
      <c r="M193" t="s">
        <v>132</v>
      </c>
    </row>
    <row r="194" spans="3:8"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</row>
    <row r="195" spans="3:8">
      <c r="C195">
        <f>2+($E$4)*F193</f>
        <v>20</v>
      </c>
      <c r="D195">
        <f>2+($K$4)*F193</f>
        <v>8</v>
      </c>
      <c r="E195">
        <f>26+($H$4)*F193</f>
        <v>206</v>
      </c>
      <c r="F195">
        <v>4</v>
      </c>
      <c r="G195">
        <v>0.5</v>
      </c>
      <c r="H195">
        <v>-1</v>
      </c>
    </row>
    <row r="197" spans="3:13">
      <c r="C197" t="s">
        <v>9</v>
      </c>
      <c r="D197" t="s">
        <v>133</v>
      </c>
      <c r="E197" t="s">
        <v>11</v>
      </c>
      <c r="F197">
        <v>6</v>
      </c>
      <c r="G197" t="s">
        <v>12</v>
      </c>
      <c r="H197" t="s">
        <v>43</v>
      </c>
      <c r="I197" t="s">
        <v>14</v>
      </c>
      <c r="J197" t="s">
        <v>15</v>
      </c>
      <c r="L197" t="s">
        <v>16</v>
      </c>
      <c r="M197" t="s">
        <v>134</v>
      </c>
    </row>
    <row r="198" spans="3:8"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</row>
    <row r="199" spans="3:8">
      <c r="C199">
        <f>6+($E$4)*F197</f>
        <v>24</v>
      </c>
      <c r="D199">
        <f>2+($K$4)*F197</f>
        <v>8</v>
      </c>
      <c r="E199">
        <f>35+($H$4)*F197</f>
        <v>215</v>
      </c>
      <c r="F199">
        <v>4</v>
      </c>
      <c r="G199">
        <v>0.5</v>
      </c>
      <c r="H199">
        <v>-1</v>
      </c>
    </row>
    <row r="201" spans="3:13">
      <c r="C201" t="s">
        <v>9</v>
      </c>
      <c r="D201" t="s">
        <v>135</v>
      </c>
      <c r="E201" t="s">
        <v>11</v>
      </c>
      <c r="F201">
        <v>6</v>
      </c>
      <c r="G201" t="s">
        <v>12</v>
      </c>
      <c r="H201" t="s">
        <v>59</v>
      </c>
      <c r="I201" t="s">
        <v>14</v>
      </c>
      <c r="J201" t="s">
        <v>44</v>
      </c>
      <c r="L201" t="s">
        <v>16</v>
      </c>
      <c r="M201" t="s">
        <v>136</v>
      </c>
    </row>
    <row r="202" spans="3:8"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</row>
    <row r="203" spans="3:8">
      <c r="C203">
        <f>3+($E$4)*F201</f>
        <v>21</v>
      </c>
      <c r="D203">
        <f>3+($K$4)*F201</f>
        <v>9</v>
      </c>
      <c r="E203">
        <f>55+($H$4)*F201</f>
        <v>235</v>
      </c>
      <c r="F203">
        <v>3</v>
      </c>
      <c r="G203">
        <v>0.6</v>
      </c>
      <c r="H203">
        <v>42</v>
      </c>
    </row>
    <row r="205" spans="3:13">
      <c r="C205" t="s">
        <v>9</v>
      </c>
      <c r="D205" t="s">
        <v>137</v>
      </c>
      <c r="E205" t="s">
        <v>11</v>
      </c>
      <c r="F205">
        <v>6</v>
      </c>
      <c r="G205" t="s">
        <v>12</v>
      </c>
      <c r="H205" t="s">
        <v>25</v>
      </c>
      <c r="I205" t="s">
        <v>14</v>
      </c>
      <c r="J205" t="s">
        <v>72</v>
      </c>
      <c r="L205" t="s">
        <v>16</v>
      </c>
      <c r="M205" t="s">
        <v>138</v>
      </c>
    </row>
    <row r="206" spans="3:8"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</row>
    <row r="207" spans="3:8">
      <c r="C207">
        <f>5+($E$4)*F205</f>
        <v>23</v>
      </c>
      <c r="D207">
        <f>1+($K$4)*F205</f>
        <v>7</v>
      </c>
      <c r="E207">
        <f>32+($H$4)*F205</f>
        <v>212</v>
      </c>
      <c r="F207">
        <v>5</v>
      </c>
      <c r="G207">
        <v>0.5</v>
      </c>
      <c r="H207">
        <v>20</v>
      </c>
    </row>
    <row r="209" spans="3:13">
      <c r="C209" t="s">
        <v>9</v>
      </c>
      <c r="D209" t="s">
        <v>139</v>
      </c>
      <c r="E209" t="s">
        <v>11</v>
      </c>
      <c r="F209">
        <v>5</v>
      </c>
      <c r="G209" t="s">
        <v>12</v>
      </c>
      <c r="H209" t="s">
        <v>43</v>
      </c>
      <c r="I209" t="s">
        <v>14</v>
      </c>
      <c r="J209" t="s">
        <v>26</v>
      </c>
      <c r="L209" t="s">
        <v>16</v>
      </c>
      <c r="M209" t="s">
        <v>140</v>
      </c>
    </row>
    <row r="210" spans="3:8"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</row>
    <row r="211" spans="3:8">
      <c r="C211">
        <f>4+($E$4)*F209</f>
        <v>19</v>
      </c>
      <c r="D211">
        <f>2+($K$4)*F209</f>
        <v>7</v>
      </c>
      <c r="E211">
        <f>37+($H$4)*F209</f>
        <v>187</v>
      </c>
      <c r="F211">
        <v>3</v>
      </c>
      <c r="G211">
        <v>0.6</v>
      </c>
      <c r="H211">
        <v>-1</v>
      </c>
    </row>
    <row r="213" spans="3:15">
      <c r="C213" t="s">
        <v>9</v>
      </c>
      <c r="D213" t="s">
        <v>141</v>
      </c>
      <c r="E213" t="s">
        <v>11</v>
      </c>
      <c r="F213">
        <v>4</v>
      </c>
      <c r="G213" t="s">
        <v>12</v>
      </c>
      <c r="H213" t="s">
        <v>32</v>
      </c>
      <c r="I213" t="s">
        <v>14</v>
      </c>
      <c r="J213" t="s">
        <v>64</v>
      </c>
      <c r="K213" t="s">
        <v>14</v>
      </c>
      <c r="L213" t="s">
        <v>52</v>
      </c>
      <c r="N213" t="s">
        <v>16</v>
      </c>
      <c r="O213" t="s">
        <v>142</v>
      </c>
    </row>
    <row r="214" spans="3:8"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</row>
    <row r="215" spans="3:8">
      <c r="C215">
        <f>5+($E$4)*F213</f>
        <v>17</v>
      </c>
      <c r="D215">
        <f>1+($K$4)*F213</f>
        <v>5</v>
      </c>
      <c r="E215">
        <f>32+($H$4)*F213</f>
        <v>152</v>
      </c>
      <c r="F215">
        <v>3</v>
      </c>
      <c r="G215">
        <v>0.5</v>
      </c>
      <c r="H215">
        <v>-1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6" sqref="E16:F1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6" sqref="E16:F1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Ruijun</dc:creator>
  <cp:lastModifiedBy>逗比南波万</cp:lastModifiedBy>
  <dcterms:created xsi:type="dcterms:W3CDTF">2023-05-12T11:15:00Z</dcterms:created>
  <dcterms:modified xsi:type="dcterms:W3CDTF">2025-04-23T18:43:06Z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81037138B90D4021A4F59205272DA8EA_12</vt:lpwstr>
  </property>
</Properties>
</file>